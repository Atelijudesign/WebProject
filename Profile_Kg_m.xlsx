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cuments\"/>
    </mc:Choice>
  </mc:AlternateContent>
  <xr:revisionPtr revIDLastSave="0" documentId="13_ncr:1_{71B0544B-4A2E-4E96-BB71-6AB2F2044EBA}" xr6:coauthVersionLast="47" xr6:coauthVersionMax="47" xr10:uidLastSave="{00000000-0000-0000-0000-000000000000}"/>
  <bookViews>
    <workbookView xWindow="-38520" yWindow="-120" windowWidth="38640" windowHeight="15720" xr2:uid="{D392D4EC-75FD-43BF-8C68-934E3BE2BC5E}"/>
  </bookViews>
  <sheets>
    <sheet name="INFO_PROFI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4" i="1" l="1"/>
  <c r="L62" i="1"/>
  <c r="E62" i="1"/>
  <c r="E63" i="1" s="1"/>
  <c r="E61" i="1" s="1"/>
  <c r="L61" i="1"/>
  <c r="C61" i="1"/>
  <c r="L60" i="1"/>
  <c r="E55" i="1"/>
  <c r="L54" i="1"/>
  <c r="E54" i="1"/>
  <c r="L53" i="1"/>
  <c r="E53" i="1"/>
  <c r="L52" i="1"/>
  <c r="L46" i="1"/>
  <c r="E46" i="1"/>
  <c r="L44" i="1"/>
  <c r="L45" i="1" s="1"/>
  <c r="L43" i="1" s="1"/>
  <c r="E44" i="1"/>
  <c r="E45" i="1" s="1"/>
  <c r="E43" i="1" s="1"/>
  <c r="J43" i="1"/>
  <c r="C43" i="1"/>
  <c r="L33" i="1"/>
  <c r="L32" i="1"/>
  <c r="E32" i="1"/>
  <c r="L31" i="1"/>
  <c r="L30" i="1"/>
  <c r="J30" i="1"/>
  <c r="E30" i="1"/>
  <c r="E31" i="1" s="1"/>
  <c r="E29" i="1" s="1"/>
  <c r="C29" i="1"/>
  <c r="L23" i="1"/>
  <c r="E23" i="1"/>
  <c r="E22" i="1"/>
  <c r="L21" i="1"/>
  <c r="L22" i="1" s="1"/>
  <c r="L20" i="1" s="1"/>
  <c r="E21" i="1"/>
  <c r="J20" i="1"/>
  <c r="E20" i="1"/>
  <c r="C20" i="1"/>
  <c r="L13" i="1"/>
  <c r="L11" i="1"/>
  <c r="L12" i="1" s="1"/>
  <c r="L10" i="1" s="1"/>
  <c r="E11" i="1"/>
  <c r="J10" i="1"/>
  <c r="E9" i="1"/>
  <c r="E10" i="1" s="1"/>
  <c r="E8" i="1" s="1"/>
  <c r="C8" i="1"/>
</calcChain>
</file>

<file path=xl/sharedStrings.xml><?xml version="1.0" encoding="utf-8"?>
<sst xmlns="http://schemas.openxmlformats.org/spreadsheetml/2006/main" count="186" uniqueCount="43">
  <si>
    <t xml:space="preserve">H PROFILES </t>
  </si>
  <si>
    <t xml:space="preserve">H PROFILE (Unequal Plates) </t>
  </si>
  <si>
    <t>h</t>
  </si>
  <si>
    <t>mm</t>
  </si>
  <si>
    <t>b</t>
  </si>
  <si>
    <t>b1</t>
  </si>
  <si>
    <t xml:space="preserve">s  </t>
  </si>
  <si>
    <t>b2</t>
  </si>
  <si>
    <t xml:space="preserve">t </t>
  </si>
  <si>
    <t>t1</t>
  </si>
  <si>
    <t>H</t>
  </si>
  <si>
    <t>X</t>
  </si>
  <si>
    <t>t2</t>
  </si>
  <si>
    <t>Cs Area</t>
  </si>
  <si>
    <t>cm2</t>
  </si>
  <si>
    <t>s</t>
  </si>
  <si>
    <t>Weight</t>
  </si>
  <si>
    <t>kg.m</t>
  </si>
  <si>
    <t>HE</t>
  </si>
  <si>
    <t>Cover Area</t>
  </si>
  <si>
    <t>m2/m</t>
  </si>
  <si>
    <t>T PROFILES</t>
  </si>
  <si>
    <t>CA PROFILES</t>
  </si>
  <si>
    <t>t</t>
  </si>
  <si>
    <t>c</t>
  </si>
  <si>
    <t>T</t>
  </si>
  <si>
    <t>CA</t>
  </si>
  <si>
    <t>C PROFILES</t>
  </si>
  <si>
    <t>CE PROFILES</t>
  </si>
  <si>
    <t xml:space="preserve"> </t>
  </si>
  <si>
    <t>C</t>
  </si>
  <si>
    <t>CE</t>
  </si>
  <si>
    <t>XL PROFILES</t>
  </si>
  <si>
    <t>L PROFILES</t>
  </si>
  <si>
    <t>XL</t>
  </si>
  <si>
    <t>L</t>
  </si>
  <si>
    <t>PLATES</t>
  </si>
  <si>
    <t>PIPINGS</t>
  </si>
  <si>
    <t>Outside Dia.</t>
  </si>
  <si>
    <t>Thickness</t>
  </si>
  <si>
    <t>PROFILES</t>
  </si>
  <si>
    <t>ROUND BAR</t>
  </si>
  <si>
    <t>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</si>
</sst>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Aptos Narrow"/>
      <family val="2"/>
      <scheme val="minor"/>
    </font>
    <font>
      <b/>
      <sz val="10"/>
      <color indexed="12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</font>
    <font>
      <b/>
      <sz val="10"/>
      <color indexed="5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10"/>
      </left>
      <right style="double">
        <color indexed="10"/>
      </right>
      <top style="double">
        <color indexed="10"/>
      </top>
      <bottom style="thin">
        <color indexed="64"/>
      </bottom>
      <diagonal/>
    </border>
    <border>
      <left style="double">
        <color indexed="1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10"/>
      </left>
      <right style="double">
        <color indexed="10"/>
      </right>
      <top style="thin">
        <color indexed="64"/>
      </top>
      <bottom style="thin">
        <color indexed="64"/>
      </bottom>
      <diagonal/>
    </border>
    <border>
      <left style="double">
        <color indexed="1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ouble">
        <color indexed="10"/>
      </right>
      <top/>
      <bottom style="medium">
        <color indexed="64"/>
      </bottom>
      <diagonal/>
    </border>
    <border>
      <left/>
      <right style="double">
        <color indexed="10"/>
      </right>
      <top style="thin">
        <color indexed="64"/>
      </top>
      <bottom style="double">
        <color indexed="10"/>
      </bottom>
      <diagonal/>
    </border>
    <border>
      <left style="double">
        <color indexed="1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10"/>
      </left>
      <right style="double">
        <color indexed="10"/>
      </right>
      <top style="thin">
        <color indexed="64"/>
      </top>
      <bottom style="double">
        <color indexed="1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10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10"/>
      </left>
      <right/>
      <top style="thin">
        <color indexed="64"/>
      </top>
      <bottom style="thin">
        <color indexed="64"/>
      </bottom>
      <diagonal/>
    </border>
    <border>
      <left style="double">
        <color indexed="10"/>
      </left>
      <right/>
      <top style="thin">
        <color indexed="64"/>
      </top>
      <bottom style="double">
        <color indexed="10"/>
      </bottom>
      <diagonal/>
    </border>
    <border>
      <left style="double">
        <color indexed="10"/>
      </left>
      <right/>
      <top style="double">
        <color indexed="10"/>
      </top>
      <bottom style="thin">
        <color indexed="64"/>
      </bottom>
      <diagonal/>
    </border>
    <border>
      <left style="double">
        <color indexed="10"/>
      </left>
      <right/>
      <top style="thin">
        <color indexed="64"/>
      </top>
      <bottom/>
      <diagonal/>
    </border>
    <border>
      <left/>
      <right/>
      <top style="double">
        <color indexed="10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1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10"/>
      </left>
      <right style="double">
        <color indexed="10"/>
      </right>
      <top style="double">
        <color indexed="10"/>
      </top>
      <bottom style="double">
        <color indexed="10"/>
      </bottom>
      <diagonal/>
    </border>
    <border>
      <left style="double">
        <color indexed="1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2" borderId="2" xfId="0" applyFont="1" applyFill="1" applyBorder="1"/>
    <xf numFmtId="0" fontId="0" fillId="2" borderId="6" xfId="0" applyFill="1" applyBorder="1" applyProtection="1">
      <protection locked="0"/>
    </xf>
    <xf numFmtId="0" fontId="0" fillId="2" borderId="7" xfId="0" applyFill="1" applyBorder="1" applyAlignment="1">
      <alignment horizontal="center"/>
    </xf>
    <xf numFmtId="0" fontId="2" fillId="2" borderId="8" xfId="0" applyFont="1" applyFill="1" applyBorder="1"/>
    <xf numFmtId="0" fontId="2" fillId="2" borderId="9" xfId="0" applyFont="1" applyFill="1" applyBorder="1"/>
    <xf numFmtId="0" fontId="2" fillId="2" borderId="0" xfId="0" applyFont="1" applyFill="1"/>
    <xf numFmtId="0" fontId="0" fillId="2" borderId="10" xfId="0" applyFill="1" applyBorder="1" applyProtection="1">
      <protection locked="0"/>
    </xf>
    <xf numFmtId="0" fontId="0" fillId="2" borderId="11" xfId="0" applyFill="1" applyBorder="1" applyAlignment="1">
      <alignment horizontal="center"/>
    </xf>
    <xf numFmtId="0" fontId="2" fillId="2" borderId="12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0" fillId="2" borderId="15" xfId="0" applyFill="1" applyBorder="1" applyProtection="1">
      <protection locked="0"/>
    </xf>
    <xf numFmtId="0" fontId="0" fillId="2" borderId="16" xfId="0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left"/>
    </xf>
    <xf numFmtId="0" fontId="1" fillId="2" borderId="17" xfId="0" applyFont="1" applyFill="1" applyBorder="1"/>
    <xf numFmtId="164" fontId="1" fillId="2" borderId="17" xfId="0" applyNumberFormat="1" applyFont="1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2" fillId="2" borderId="18" xfId="0" applyFont="1" applyFill="1" applyBorder="1"/>
    <xf numFmtId="0" fontId="2" fillId="2" borderId="19" xfId="0" applyFont="1" applyFill="1" applyBorder="1"/>
    <xf numFmtId="2" fontId="0" fillId="2" borderId="19" xfId="0" applyNumberFormat="1" applyFill="1" applyBorder="1"/>
    <xf numFmtId="0" fontId="0" fillId="2" borderId="20" xfId="0" applyFill="1" applyBorder="1" applyAlignment="1">
      <alignment horizontal="center"/>
    </xf>
    <xf numFmtId="0" fontId="2" fillId="2" borderId="21" xfId="0" applyFont="1" applyFill="1" applyBorder="1"/>
    <xf numFmtId="0" fontId="2" fillId="2" borderId="17" xfId="0" applyFont="1" applyFill="1" applyBorder="1"/>
    <xf numFmtId="0" fontId="0" fillId="2" borderId="22" xfId="0" applyFill="1" applyBorder="1" applyProtection="1">
      <protection locked="0"/>
    </xf>
    <xf numFmtId="0" fontId="3" fillId="2" borderId="18" xfId="0" applyFont="1" applyFill="1" applyBorder="1"/>
    <xf numFmtId="0" fontId="3" fillId="2" borderId="23" xfId="0" applyFont="1" applyFill="1" applyBorder="1"/>
    <xf numFmtId="164" fontId="3" fillId="2" borderId="23" xfId="0" applyNumberFormat="1" applyFont="1" applyFill="1" applyBorder="1"/>
    <xf numFmtId="0" fontId="3" fillId="2" borderId="18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17" xfId="0" applyFont="1" applyFill="1" applyBorder="1"/>
    <xf numFmtId="164" fontId="4" fillId="2" borderId="17" xfId="0" applyNumberFormat="1" applyFont="1" applyFill="1" applyBorder="1" applyAlignment="1">
      <alignment horizontal="left"/>
    </xf>
    <xf numFmtId="2" fontId="2" fillId="2" borderId="24" xfId="0" applyNumberFormat="1" applyFont="1" applyFill="1" applyBorder="1"/>
    <xf numFmtId="2" fontId="2" fillId="2" borderId="17" xfId="0" applyNumberFormat="1" applyFont="1" applyFill="1" applyBorder="1"/>
    <xf numFmtId="2" fontId="0" fillId="2" borderId="17" xfId="0" applyNumberFormat="1" applyFill="1" applyBorder="1"/>
    <xf numFmtId="2" fontId="0" fillId="2" borderId="24" xfId="0" applyNumberFormat="1" applyFill="1" applyBorder="1" applyAlignment="1">
      <alignment horizontal="center"/>
    </xf>
    <xf numFmtId="2" fontId="0" fillId="2" borderId="0" xfId="0" applyNumberFormat="1" applyFill="1"/>
    <xf numFmtId="2" fontId="2" fillId="2" borderId="25" xfId="0" applyNumberFormat="1" applyFont="1" applyFill="1" applyBorder="1"/>
    <xf numFmtId="2" fontId="0" fillId="2" borderId="25" xfId="0" applyNumberFormat="1" applyFill="1" applyBorder="1"/>
    <xf numFmtId="2" fontId="0" fillId="2" borderId="20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26" xfId="0" applyFont="1" applyFill="1" applyBorder="1"/>
    <xf numFmtId="0" fontId="2" fillId="2" borderId="27" xfId="0" applyFont="1" applyFill="1" applyBorder="1"/>
    <xf numFmtId="0" fontId="0" fillId="2" borderId="28" xfId="0" applyFill="1" applyBorder="1" applyAlignment="1">
      <alignment horizontal="center"/>
    </xf>
    <xf numFmtId="0" fontId="0" fillId="2" borderId="29" xfId="0" applyFill="1" applyBorder="1" applyProtection="1">
      <protection locked="0"/>
    </xf>
    <xf numFmtId="0" fontId="0" fillId="2" borderId="30" xfId="0" applyFill="1" applyBorder="1" applyProtection="1">
      <protection locked="0"/>
    </xf>
    <xf numFmtId="0" fontId="2" fillId="2" borderId="25" xfId="0" applyFont="1" applyFill="1" applyBorder="1"/>
    <xf numFmtId="0" fontId="0" fillId="2" borderId="25" xfId="0" applyFill="1" applyBorder="1"/>
    <xf numFmtId="2" fontId="2" fillId="2" borderId="26" xfId="0" applyNumberFormat="1" applyFont="1" applyFill="1" applyBorder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31" xfId="0" applyFill="1" applyBorder="1" applyProtection="1">
      <protection locked="0"/>
    </xf>
    <xf numFmtId="0" fontId="0" fillId="2" borderId="32" xfId="0" applyFill="1" applyBorder="1" applyProtection="1">
      <protection locked="0"/>
    </xf>
    <xf numFmtId="0" fontId="4" fillId="2" borderId="17" xfId="0" applyFont="1" applyFill="1" applyBorder="1" applyAlignment="1">
      <alignment horizontal="center"/>
    </xf>
    <xf numFmtId="164" fontId="4" fillId="2" borderId="33" xfId="0" applyNumberFormat="1" applyFont="1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0" fillId="2" borderId="34" xfId="0" applyFill="1" applyBorder="1" applyProtection="1">
      <protection locked="0"/>
    </xf>
    <xf numFmtId="0" fontId="4" fillId="2" borderId="17" xfId="0" applyFont="1" applyFill="1" applyBorder="1" applyAlignment="1">
      <alignment horizontal="left"/>
    </xf>
    <xf numFmtId="2" fontId="4" fillId="2" borderId="33" xfId="0" applyNumberFormat="1" applyFont="1" applyFill="1" applyBorder="1" applyAlignment="1">
      <alignment horizontal="left"/>
    </xf>
    <xf numFmtId="2" fontId="3" fillId="2" borderId="23" xfId="0" applyNumberFormat="1" applyFont="1" applyFill="1" applyBorder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2" fontId="3" fillId="2" borderId="0" xfId="0" applyNumberFormat="1" applyFont="1" applyFill="1"/>
    <xf numFmtId="0" fontId="2" fillId="2" borderId="20" xfId="0" applyFont="1" applyFill="1" applyBorder="1"/>
    <xf numFmtId="0" fontId="2" fillId="2" borderId="35" xfId="0" applyFont="1" applyFill="1" applyBorder="1"/>
    <xf numFmtId="0" fontId="0" fillId="2" borderId="36" xfId="0" applyFill="1" applyBorder="1" applyAlignment="1">
      <alignment horizontal="center"/>
    </xf>
    <xf numFmtId="0" fontId="2" fillId="2" borderId="1" xfId="0" applyFont="1" applyFill="1" applyBorder="1"/>
    <xf numFmtId="0" fontId="0" fillId="2" borderId="17" xfId="0" applyFill="1" applyBorder="1"/>
    <xf numFmtId="0" fontId="2" fillId="2" borderId="37" xfId="0" applyFont="1" applyFill="1" applyBorder="1"/>
    <xf numFmtId="0" fontId="0" fillId="2" borderId="33" xfId="0" applyFill="1" applyBorder="1"/>
    <xf numFmtId="0" fontId="2" fillId="2" borderId="23" xfId="0" applyFont="1" applyFill="1" applyBorder="1"/>
    <xf numFmtId="2" fontId="0" fillId="2" borderId="23" xfId="0" applyNumberFormat="1" applyFill="1" applyBorder="1"/>
    <xf numFmtId="2" fontId="2" fillId="2" borderId="0" xfId="0" applyNumberFormat="1" applyFont="1" applyFill="1"/>
    <xf numFmtId="2" fontId="0" fillId="2" borderId="0" xfId="0" applyNumberFormat="1" applyFill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2" fillId="2" borderId="38" xfId="0" applyFont="1" applyFill="1" applyBorder="1"/>
    <xf numFmtId="0" fontId="0" fillId="2" borderId="39" xfId="0" applyFill="1" applyBorder="1" applyProtection="1">
      <protection locked="0"/>
    </xf>
    <xf numFmtId="0" fontId="0" fillId="2" borderId="40" xfId="0" applyFill="1" applyBorder="1" applyAlignment="1">
      <alignment horizontal="center"/>
    </xf>
    <xf numFmtId="165" fontId="0" fillId="2" borderId="23" xfId="0" applyNumberFormat="1" applyFill="1" applyBorder="1"/>
    <xf numFmtId="0" fontId="5" fillId="2" borderId="1" xfId="0" applyFont="1" applyFill="1" applyBorder="1" applyAlignment="1">
      <alignment horizontal="right"/>
    </xf>
    <xf numFmtId="2" fontId="4" fillId="2" borderId="17" xfId="0" applyNumberFormat="1" applyFont="1" applyFill="1" applyBorder="1" applyAlignment="1">
      <alignment horizontal="left"/>
    </xf>
    <xf numFmtId="165" fontId="3" fillId="2" borderId="2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123825</xdr:colOff>
      <xdr:row>0</xdr:row>
      <xdr:rowOff>133350</xdr:rowOff>
    </xdr:from>
    <xdr:to>
      <xdr:col>7</xdr:col>
      <xdr:colOff>542925</xdr:colOff>
      <xdr:row>9</xdr:row>
      <xdr:rowOff>123825</xdr:rowOff>
    </xdr:to>
    <xdr:pic>
      <xdr:nvPicPr>
        <xdr:cNvPr id="16" name="Picture 15" descr="H">
          <a:extLst>
            <a:ext uri="{FF2B5EF4-FFF2-40B4-BE49-F238E27FC236}">
              <a16:creationId xmlns:a16="http://schemas.microsoft.com/office/drawing/2014/main" id="{9755E737-16ED-42DD-8E23-D2C51E209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133350"/>
          <a:ext cx="1181100" cy="1704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190500</xdr:colOff>
      <xdr:row>0</xdr:row>
      <xdr:rowOff>104775</xdr:rowOff>
    </xdr:from>
    <xdr:to>
      <xdr:col>14</xdr:col>
      <xdr:colOff>685800</xdr:colOff>
      <xdr:row>11</xdr:row>
      <xdr:rowOff>57150</xdr:rowOff>
    </xdr:to>
    <xdr:pic>
      <xdr:nvPicPr>
        <xdr:cNvPr id="17" name="Picture 16" descr="H2">
          <a:extLst>
            <a:ext uri="{FF2B5EF4-FFF2-40B4-BE49-F238E27FC236}">
              <a16:creationId xmlns:a16="http://schemas.microsoft.com/office/drawing/2014/main" id="{197B45CA-71F5-4B8D-88B5-516950781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0" y="104775"/>
          <a:ext cx="1257300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95250</xdr:colOff>
      <xdr:row>14</xdr:row>
      <xdr:rowOff>9525</xdr:rowOff>
    </xdr:from>
    <xdr:to>
      <xdr:col>7</xdr:col>
      <xdr:colOff>514350</xdr:colOff>
      <xdr:row>21</xdr:row>
      <xdr:rowOff>57150</xdr:rowOff>
    </xdr:to>
    <xdr:pic>
      <xdr:nvPicPr>
        <xdr:cNvPr id="18" name="Picture 17" descr="T">
          <a:extLst>
            <a:ext uri="{FF2B5EF4-FFF2-40B4-BE49-F238E27FC236}">
              <a16:creationId xmlns:a16="http://schemas.microsoft.com/office/drawing/2014/main" id="{9F013E05-ED1A-4F9B-A123-C7A22D133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2371725"/>
          <a:ext cx="1181100" cy="138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123825</xdr:colOff>
      <xdr:row>37</xdr:row>
      <xdr:rowOff>0</xdr:rowOff>
    </xdr:from>
    <xdr:to>
      <xdr:col>14</xdr:col>
      <xdr:colOff>504825</xdr:colOff>
      <xdr:row>45</xdr:row>
      <xdr:rowOff>142875</xdr:rowOff>
    </xdr:to>
    <xdr:pic>
      <xdr:nvPicPr>
        <xdr:cNvPr id="19" name="Picture 20" descr="L">
          <a:extLst>
            <a:ext uri="{FF2B5EF4-FFF2-40B4-BE49-F238E27FC236}">
              <a16:creationId xmlns:a16="http://schemas.microsoft.com/office/drawing/2014/main" id="{66E99B4D-FFC6-47B4-A23B-42B7D1F2C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9825" y="6219825"/>
          <a:ext cx="1143000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219075</xdr:colOff>
      <xdr:row>49</xdr:row>
      <xdr:rowOff>85725</xdr:rowOff>
    </xdr:from>
    <xdr:to>
      <xdr:col>14</xdr:col>
      <xdr:colOff>438150</xdr:colOff>
      <xdr:row>52</xdr:row>
      <xdr:rowOff>38100</xdr:rowOff>
    </xdr:to>
    <xdr:pic>
      <xdr:nvPicPr>
        <xdr:cNvPr id="20" name="Picture 27" descr="Cañ">
          <a:extLst>
            <a:ext uri="{FF2B5EF4-FFF2-40B4-BE49-F238E27FC236}">
              <a16:creationId xmlns:a16="http://schemas.microsoft.com/office/drawing/2014/main" id="{A5B6EEF4-6903-4D1A-BD7D-FFE132F5E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8343900"/>
          <a:ext cx="98107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219075</xdr:colOff>
      <xdr:row>57</xdr:row>
      <xdr:rowOff>123825</xdr:rowOff>
    </xdr:from>
    <xdr:to>
      <xdr:col>14</xdr:col>
      <xdr:colOff>342900</xdr:colOff>
      <xdr:row>60</xdr:row>
      <xdr:rowOff>85725</xdr:rowOff>
    </xdr:to>
    <xdr:pic>
      <xdr:nvPicPr>
        <xdr:cNvPr id="21" name="Picture 28" descr="Bar">
          <a:extLst>
            <a:ext uri="{FF2B5EF4-FFF2-40B4-BE49-F238E27FC236}">
              <a16:creationId xmlns:a16="http://schemas.microsoft.com/office/drawing/2014/main" id="{04E91367-BA09-4786-BEF3-0A40D9F95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9753600"/>
          <a:ext cx="88582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142875</xdr:colOff>
      <xdr:row>38</xdr:row>
      <xdr:rowOff>104775</xdr:rowOff>
    </xdr:from>
    <xdr:to>
      <xdr:col>7</xdr:col>
      <xdr:colOff>495300</xdr:colOff>
      <xdr:row>44</xdr:row>
      <xdr:rowOff>104775</xdr:rowOff>
    </xdr:to>
    <xdr:pic>
      <xdr:nvPicPr>
        <xdr:cNvPr id="22" name="Picture 30" descr="XL">
          <a:extLst>
            <a:ext uri="{FF2B5EF4-FFF2-40B4-BE49-F238E27FC236}">
              <a16:creationId xmlns:a16="http://schemas.microsoft.com/office/drawing/2014/main" id="{44EC2FAC-A399-4BEE-AE0E-8BEEC8AD7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4875" y="6496050"/>
          <a:ext cx="11144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581025</xdr:colOff>
      <xdr:row>56</xdr:row>
      <xdr:rowOff>28575</xdr:rowOff>
    </xdr:from>
    <xdr:to>
      <xdr:col>1</xdr:col>
      <xdr:colOff>695325</xdr:colOff>
      <xdr:row>56</xdr:row>
      <xdr:rowOff>142875</xdr:rowOff>
    </xdr:to>
    <xdr:pic>
      <xdr:nvPicPr>
        <xdr:cNvPr id="23" name="Picture 36" descr="Cj2">
          <a:extLst>
            <a:ext uri="{FF2B5EF4-FFF2-40B4-BE49-F238E27FC236}">
              <a16:creationId xmlns:a16="http://schemas.microsoft.com/office/drawing/2014/main" id="{CDFBFDDC-AE8D-4AE6-ACF7-124873E3C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9486900"/>
          <a:ext cx="1143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619125</xdr:colOff>
      <xdr:row>60</xdr:row>
      <xdr:rowOff>28575</xdr:rowOff>
    </xdr:from>
    <xdr:to>
      <xdr:col>1</xdr:col>
      <xdr:colOff>733425</xdr:colOff>
      <xdr:row>60</xdr:row>
      <xdr:rowOff>142875</xdr:rowOff>
    </xdr:to>
    <xdr:pic>
      <xdr:nvPicPr>
        <xdr:cNvPr id="24" name="Picture 37" descr="Cj2">
          <a:extLst>
            <a:ext uri="{FF2B5EF4-FFF2-40B4-BE49-F238E27FC236}">
              <a16:creationId xmlns:a16="http://schemas.microsoft.com/office/drawing/2014/main" id="{4353F720-6BFA-42AB-89E5-6856469FD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10191750"/>
          <a:ext cx="1143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104775</xdr:colOff>
      <xdr:row>24</xdr:row>
      <xdr:rowOff>0</xdr:rowOff>
    </xdr:from>
    <xdr:to>
      <xdr:col>7</xdr:col>
      <xdr:colOff>590550</xdr:colOff>
      <xdr:row>31</xdr:row>
      <xdr:rowOff>161925</xdr:rowOff>
    </xdr:to>
    <xdr:pic>
      <xdr:nvPicPr>
        <xdr:cNvPr id="25" name="Picture 38" descr="C">
          <a:extLst>
            <a:ext uri="{FF2B5EF4-FFF2-40B4-BE49-F238E27FC236}">
              <a16:creationId xmlns:a16="http://schemas.microsoft.com/office/drawing/2014/main" id="{B39B5706-E3D9-4C37-9ADC-6F687A729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4038600"/>
          <a:ext cx="124777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180975</xdr:colOff>
      <xdr:row>13</xdr:row>
      <xdr:rowOff>57150</xdr:rowOff>
    </xdr:from>
    <xdr:to>
      <xdr:col>14</xdr:col>
      <xdr:colOff>685800</xdr:colOff>
      <xdr:row>21</xdr:row>
      <xdr:rowOff>19050</xdr:rowOff>
    </xdr:to>
    <xdr:pic>
      <xdr:nvPicPr>
        <xdr:cNvPr id="26" name="Picture 43" descr="Ca">
          <a:extLst>
            <a:ext uri="{FF2B5EF4-FFF2-40B4-BE49-F238E27FC236}">
              <a16:creationId xmlns:a16="http://schemas.microsoft.com/office/drawing/2014/main" id="{6AFE8646-BAE3-4136-BBE4-1957FBF6C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6975" y="2247900"/>
          <a:ext cx="1266825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161925</xdr:colOff>
      <xdr:row>56</xdr:row>
      <xdr:rowOff>0</xdr:rowOff>
    </xdr:from>
    <xdr:to>
      <xdr:col>7</xdr:col>
      <xdr:colOff>428625</xdr:colOff>
      <xdr:row>63</xdr:row>
      <xdr:rowOff>28575</xdr:rowOff>
    </xdr:to>
    <xdr:pic>
      <xdr:nvPicPr>
        <xdr:cNvPr id="27" name="Picture 44" descr="Cj">
          <a:extLst>
            <a:ext uri="{FF2B5EF4-FFF2-40B4-BE49-F238E27FC236}">
              <a16:creationId xmlns:a16="http://schemas.microsoft.com/office/drawing/2014/main" id="{EFEE0BF1-D181-4B29-839A-E624AD350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3925" y="9458325"/>
          <a:ext cx="1028700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228600</xdr:colOff>
      <xdr:row>22</xdr:row>
      <xdr:rowOff>152400</xdr:rowOff>
    </xdr:from>
    <xdr:to>
      <xdr:col>14</xdr:col>
      <xdr:colOff>733425</xdr:colOff>
      <xdr:row>33</xdr:row>
      <xdr:rowOff>0</xdr:rowOff>
    </xdr:to>
    <xdr:pic>
      <xdr:nvPicPr>
        <xdr:cNvPr id="28" name="Picture 48" descr="C">
          <a:extLst>
            <a:ext uri="{FF2B5EF4-FFF2-40B4-BE49-F238E27FC236}">
              <a16:creationId xmlns:a16="http://schemas.microsoft.com/office/drawing/2014/main" id="{3E2FF4C0-0305-45B2-B6E1-41E2212A1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00" y="3848100"/>
          <a:ext cx="1266825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66675</xdr:colOff>
      <xdr:row>47</xdr:row>
      <xdr:rowOff>85725</xdr:rowOff>
    </xdr:from>
    <xdr:to>
      <xdr:col>7</xdr:col>
      <xdr:colOff>542925</xdr:colOff>
      <xdr:row>52</xdr:row>
      <xdr:rowOff>104775</xdr:rowOff>
    </xdr:to>
    <xdr:pic>
      <xdr:nvPicPr>
        <xdr:cNvPr id="29" name="Picture 50" descr="Pl">
          <a:extLst>
            <a:ext uri="{FF2B5EF4-FFF2-40B4-BE49-F238E27FC236}">
              <a16:creationId xmlns:a16="http://schemas.microsoft.com/office/drawing/2014/main" id="{E626917C-F381-482F-860C-6D56E65F1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8675" y="8001000"/>
          <a:ext cx="12382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2D63C-AA44-4ABA-99F2-AB170FEC3C25}">
  <dimension ref="B1:O68"/>
  <sheetViews>
    <sheetView tabSelected="1" workbookViewId="0">
      <selection activeCell="U11" sqref="U11"/>
    </sheetView>
  </sheetViews>
  <sheetFormatPr baseColWidth="10" defaultRowHeight="15" x14ac:dyDescent="0.25"/>
  <sheetData>
    <row r="1" spans="2:1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ht="15.75" thickBo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 ht="15.75" thickBot="1" x14ac:dyDescent="0.3">
      <c r="B3" s="2" t="s">
        <v>0</v>
      </c>
      <c r="C3" s="3"/>
      <c r="D3" s="3"/>
      <c r="E3" s="3"/>
      <c r="F3" s="4"/>
      <c r="G3" s="1"/>
      <c r="H3" s="1"/>
      <c r="I3" s="2" t="s">
        <v>1</v>
      </c>
      <c r="J3" s="3"/>
      <c r="K3" s="3"/>
      <c r="L3" s="3"/>
      <c r="M3" s="4"/>
      <c r="N3" s="1"/>
      <c r="O3" s="1"/>
    </row>
    <row r="4" spans="2:15" ht="15.75" thickTop="1" x14ac:dyDescent="0.25">
      <c r="B4" s="5" t="s">
        <v>2</v>
      </c>
      <c r="C4" s="6"/>
      <c r="D4" s="7"/>
      <c r="E4" s="8">
        <v>200</v>
      </c>
      <c r="F4" s="9" t="s">
        <v>3</v>
      </c>
      <c r="G4" s="1"/>
      <c r="H4" s="1"/>
      <c r="I4" s="5" t="s">
        <v>2</v>
      </c>
      <c r="J4" s="6"/>
      <c r="K4" s="7"/>
      <c r="L4" s="8">
        <v>250</v>
      </c>
      <c r="M4" s="9" t="s">
        <v>3</v>
      </c>
      <c r="N4" s="1"/>
      <c r="O4" s="1"/>
    </row>
    <row r="5" spans="2:15" x14ac:dyDescent="0.25">
      <c r="B5" s="10" t="s">
        <v>4</v>
      </c>
      <c r="C5" s="11"/>
      <c r="D5" s="12"/>
      <c r="E5" s="13">
        <v>200</v>
      </c>
      <c r="F5" s="14" t="s">
        <v>3</v>
      </c>
      <c r="G5" s="1"/>
      <c r="H5" s="1"/>
      <c r="I5" s="10" t="s">
        <v>5</v>
      </c>
      <c r="J5" s="11"/>
      <c r="K5" s="12"/>
      <c r="L5" s="13">
        <v>200</v>
      </c>
      <c r="M5" s="14" t="s">
        <v>3</v>
      </c>
      <c r="N5" s="1"/>
      <c r="O5" s="1"/>
    </row>
    <row r="6" spans="2:15" x14ac:dyDescent="0.25">
      <c r="B6" s="10" t="s">
        <v>6</v>
      </c>
      <c r="C6" s="11"/>
      <c r="D6" s="12"/>
      <c r="E6" s="13">
        <v>8</v>
      </c>
      <c r="F6" s="14" t="s">
        <v>3</v>
      </c>
      <c r="G6" s="1"/>
      <c r="H6" s="1"/>
      <c r="I6" s="10" t="s">
        <v>7</v>
      </c>
      <c r="J6" s="11"/>
      <c r="K6" s="12"/>
      <c r="L6" s="13">
        <v>200</v>
      </c>
      <c r="M6" s="14" t="s">
        <v>3</v>
      </c>
      <c r="N6" s="1"/>
      <c r="O6" s="1"/>
    </row>
    <row r="7" spans="2:15" ht="15.75" thickBot="1" x14ac:dyDescent="0.3">
      <c r="B7" s="15" t="s">
        <v>8</v>
      </c>
      <c r="C7" s="16"/>
      <c r="D7" s="17"/>
      <c r="E7" s="18">
        <v>12</v>
      </c>
      <c r="F7" s="19" t="s">
        <v>3</v>
      </c>
      <c r="G7" s="1"/>
      <c r="H7" s="1"/>
      <c r="I7" s="10" t="s">
        <v>9</v>
      </c>
      <c r="J7" s="11"/>
      <c r="K7" s="12"/>
      <c r="L7" s="13">
        <v>14</v>
      </c>
      <c r="M7" s="14" t="s">
        <v>3</v>
      </c>
      <c r="N7" s="1"/>
      <c r="O7" s="1"/>
    </row>
    <row r="8" spans="2:15" ht="15.75" thickBot="1" x14ac:dyDescent="0.3">
      <c r="B8" s="20" t="s">
        <v>10</v>
      </c>
      <c r="C8" s="21">
        <f>E4*0.1</f>
        <v>20</v>
      </c>
      <c r="D8" s="22" t="s">
        <v>11</v>
      </c>
      <c r="E8" s="23">
        <f>E10</f>
        <v>48.73279999999999</v>
      </c>
      <c r="F8" s="24"/>
      <c r="G8" s="1"/>
      <c r="H8" s="1"/>
      <c r="I8" s="10" t="s">
        <v>12</v>
      </c>
      <c r="J8" s="11"/>
      <c r="K8" s="12"/>
      <c r="L8" s="13">
        <v>14</v>
      </c>
      <c r="M8" s="14" t="s">
        <v>3</v>
      </c>
      <c r="N8" s="1"/>
      <c r="O8" s="1"/>
    </row>
    <row r="9" spans="2:15" ht="15.75" thickBot="1" x14ac:dyDescent="0.3">
      <c r="B9" s="25" t="s">
        <v>13</v>
      </c>
      <c r="C9" s="26"/>
      <c r="D9" s="26"/>
      <c r="E9" s="27">
        <f>((E5*E7)+(E5*E7)+((E4-E7-E7)*E6))/100</f>
        <v>62.08</v>
      </c>
      <c r="F9" s="28" t="s">
        <v>14</v>
      </c>
      <c r="G9" s="1"/>
      <c r="H9" s="1"/>
      <c r="I9" s="29" t="s">
        <v>15</v>
      </c>
      <c r="J9" s="16"/>
      <c r="K9" s="30"/>
      <c r="L9" s="31">
        <v>6</v>
      </c>
      <c r="M9" s="19" t="s">
        <v>3</v>
      </c>
      <c r="N9" s="1"/>
      <c r="O9" s="1"/>
    </row>
    <row r="10" spans="2:15" ht="15.75" thickBot="1" x14ac:dyDescent="0.3">
      <c r="B10" s="32" t="s">
        <v>16</v>
      </c>
      <c r="C10" s="33"/>
      <c r="D10" s="33"/>
      <c r="E10" s="34">
        <f>(E9*0.00785)*100</f>
        <v>48.73279999999999</v>
      </c>
      <c r="F10" s="35" t="s">
        <v>17</v>
      </c>
      <c r="G10" s="1"/>
      <c r="H10" s="1"/>
      <c r="I10" s="36" t="s">
        <v>18</v>
      </c>
      <c r="J10" s="37">
        <f>L4*0.1</f>
        <v>25</v>
      </c>
      <c r="K10" s="37" t="s">
        <v>11</v>
      </c>
      <c r="L10" s="38">
        <f>L12</f>
        <v>54.416199999999989</v>
      </c>
      <c r="M10" s="24"/>
      <c r="N10" s="1"/>
      <c r="O10" s="1"/>
    </row>
    <row r="11" spans="2:15" ht="15.75" thickBot="1" x14ac:dyDescent="0.3">
      <c r="B11" s="39" t="s">
        <v>19</v>
      </c>
      <c r="C11" s="40"/>
      <c r="D11" s="40"/>
      <c r="E11" s="41">
        <f>((2*E5-E6)+(2*E5-E6)+2*E4)/1000</f>
        <v>1.1839999999999999</v>
      </c>
      <c r="F11" s="42" t="s">
        <v>20</v>
      </c>
      <c r="G11" s="43"/>
      <c r="H11" s="43"/>
      <c r="I11" s="25" t="s">
        <v>13</v>
      </c>
      <c r="J11" s="44"/>
      <c r="K11" s="44"/>
      <c r="L11" s="45">
        <f>((L5*L7)+(L6*L8)+((L4-L7-L8)*L9))/100</f>
        <v>69.319999999999993</v>
      </c>
      <c r="M11" s="46" t="s">
        <v>14</v>
      </c>
      <c r="N11" s="43"/>
      <c r="O11" s="43"/>
    </row>
    <row r="12" spans="2:15" x14ac:dyDescent="0.25">
      <c r="B12" s="12"/>
      <c r="C12" s="12"/>
      <c r="D12" s="12"/>
      <c r="E12" s="1"/>
      <c r="F12" s="47"/>
      <c r="G12" s="12"/>
      <c r="H12" s="1"/>
      <c r="I12" s="32" t="s">
        <v>16</v>
      </c>
      <c r="J12" s="33"/>
      <c r="K12" s="33"/>
      <c r="L12" s="34">
        <f>(L11*0.00785)*100</f>
        <v>54.416199999999989</v>
      </c>
      <c r="M12" s="35" t="s">
        <v>17</v>
      </c>
      <c r="N12" s="1"/>
      <c r="O12" s="47"/>
    </row>
    <row r="13" spans="2:15" ht="15.75" thickBot="1" x14ac:dyDescent="0.3">
      <c r="B13" s="1"/>
      <c r="C13" s="1"/>
      <c r="D13" s="1"/>
      <c r="E13" s="1"/>
      <c r="F13" s="1"/>
      <c r="G13" s="1"/>
      <c r="H13" s="1"/>
      <c r="I13" s="48" t="s">
        <v>19</v>
      </c>
      <c r="J13" s="30"/>
      <c r="K13" s="30"/>
      <c r="L13" s="41">
        <f>((2*L5-L9)+(2*L6-L9)+2*L4)/1000</f>
        <v>1.288</v>
      </c>
      <c r="M13" s="42" t="s">
        <v>20</v>
      </c>
      <c r="N13" s="1"/>
      <c r="O13" s="1"/>
    </row>
    <row r="14" spans="2:15" ht="15.75" thickBot="1" x14ac:dyDescent="0.3">
      <c r="B14" s="1"/>
      <c r="C14" s="1"/>
      <c r="D14" s="1"/>
      <c r="E14" s="1"/>
      <c r="F14" s="1"/>
      <c r="G14" s="1"/>
      <c r="H14" s="1"/>
      <c r="I14" s="12"/>
      <c r="J14" s="12"/>
      <c r="K14" s="12"/>
      <c r="L14" s="1"/>
      <c r="M14" s="47"/>
      <c r="N14" s="1"/>
      <c r="O14" s="1"/>
    </row>
    <row r="15" spans="2:15" ht="15.75" thickBot="1" x14ac:dyDescent="0.3">
      <c r="B15" s="2" t="s">
        <v>21</v>
      </c>
      <c r="C15" s="3"/>
      <c r="D15" s="3"/>
      <c r="E15" s="3"/>
      <c r="F15" s="4"/>
      <c r="G15" s="1"/>
      <c r="H15" s="1"/>
      <c r="I15" s="2" t="s">
        <v>22</v>
      </c>
      <c r="J15" s="3"/>
      <c r="K15" s="3"/>
      <c r="L15" s="3"/>
      <c r="M15" s="4"/>
      <c r="N15" s="1"/>
      <c r="O15" s="1"/>
    </row>
    <row r="16" spans="2:15" ht="15.75" thickTop="1" x14ac:dyDescent="0.25">
      <c r="B16" s="5" t="s">
        <v>2</v>
      </c>
      <c r="C16" s="6"/>
      <c r="D16" s="7"/>
      <c r="E16" s="8">
        <v>175</v>
      </c>
      <c r="F16" s="9" t="s">
        <v>3</v>
      </c>
      <c r="G16" s="1"/>
      <c r="H16" s="1"/>
      <c r="I16" s="5" t="s">
        <v>2</v>
      </c>
      <c r="J16" s="6"/>
      <c r="K16" s="49"/>
      <c r="L16" s="8">
        <v>280</v>
      </c>
      <c r="M16" s="50" t="s">
        <v>3</v>
      </c>
      <c r="N16" s="1"/>
      <c r="O16" s="1"/>
    </row>
    <row r="17" spans="2:15" x14ac:dyDescent="0.25">
      <c r="B17" s="10" t="s">
        <v>4</v>
      </c>
      <c r="C17" s="11"/>
      <c r="D17" s="12"/>
      <c r="E17" s="51">
        <v>250</v>
      </c>
      <c r="F17" s="14" t="s">
        <v>3</v>
      </c>
      <c r="G17" s="1"/>
      <c r="H17" s="1"/>
      <c r="I17" s="10" t="s">
        <v>4</v>
      </c>
      <c r="J17" s="11"/>
      <c r="K17" s="12"/>
      <c r="L17" s="51">
        <v>100</v>
      </c>
      <c r="M17" s="14" t="s">
        <v>3</v>
      </c>
      <c r="N17" s="1"/>
      <c r="O17" s="1"/>
    </row>
    <row r="18" spans="2:15" x14ac:dyDescent="0.25">
      <c r="B18" s="10" t="s">
        <v>23</v>
      </c>
      <c r="C18" s="11"/>
      <c r="D18" s="12"/>
      <c r="E18" s="51">
        <v>18</v>
      </c>
      <c r="F18" s="14" t="s">
        <v>3</v>
      </c>
      <c r="G18" s="1"/>
      <c r="H18" s="1"/>
      <c r="I18" s="10" t="s">
        <v>24</v>
      </c>
      <c r="J18" s="11"/>
      <c r="K18" s="12"/>
      <c r="L18" s="51">
        <v>35</v>
      </c>
      <c r="M18" s="14" t="s">
        <v>3</v>
      </c>
      <c r="N18" s="1"/>
      <c r="O18" s="1"/>
    </row>
    <row r="19" spans="2:15" ht="15.75" thickBot="1" x14ac:dyDescent="0.3">
      <c r="B19" s="29" t="s">
        <v>15</v>
      </c>
      <c r="C19" s="16"/>
      <c r="D19" s="30"/>
      <c r="E19" s="31">
        <v>12</v>
      </c>
      <c r="F19" s="19" t="s">
        <v>3</v>
      </c>
      <c r="G19" s="1"/>
      <c r="H19" s="1"/>
      <c r="I19" s="29" t="s">
        <v>23</v>
      </c>
      <c r="J19" s="16"/>
      <c r="K19" s="30"/>
      <c r="L19" s="52">
        <v>5</v>
      </c>
      <c r="M19" s="19" t="s">
        <v>3</v>
      </c>
      <c r="N19" s="1"/>
      <c r="O19" s="1"/>
    </row>
    <row r="20" spans="2:15" ht="15.75" thickBot="1" x14ac:dyDescent="0.3">
      <c r="B20" s="36" t="s">
        <v>25</v>
      </c>
      <c r="C20" s="37">
        <f>E16*0.1</f>
        <v>17.5</v>
      </c>
      <c r="D20" s="37" t="s">
        <v>11</v>
      </c>
      <c r="E20" s="38">
        <f>E22</f>
        <v>50.114400000000003</v>
      </c>
      <c r="F20" s="24"/>
      <c r="G20" s="1"/>
      <c r="H20" s="1"/>
      <c r="I20" s="36" t="s">
        <v>26</v>
      </c>
      <c r="J20" s="37">
        <f>L16*0.1</f>
        <v>28</v>
      </c>
      <c r="K20" s="37" t="s">
        <v>11</v>
      </c>
      <c r="L20" s="38">
        <f>L22</f>
        <v>20.297116999999997</v>
      </c>
      <c r="M20" s="24"/>
      <c r="N20" s="1"/>
      <c r="O20" s="1"/>
    </row>
    <row r="21" spans="2:15" x14ac:dyDescent="0.25">
      <c r="B21" s="25" t="s">
        <v>13</v>
      </c>
      <c r="C21" s="53"/>
      <c r="D21" s="53"/>
      <c r="E21" s="54">
        <f>(E17*E18+(E16-E18)*E19)/100</f>
        <v>63.84</v>
      </c>
      <c r="F21" s="28" t="s">
        <v>14</v>
      </c>
      <c r="G21" s="1"/>
      <c r="H21" s="1"/>
      <c r="I21" s="25" t="s">
        <v>13</v>
      </c>
      <c r="J21" s="53"/>
      <c r="K21" s="53"/>
      <c r="L21" s="45">
        <f>(((L16+2*L17+2*L18)-6.5752*L19)*L19)/100</f>
        <v>25.856199999999998</v>
      </c>
      <c r="M21" s="28" t="s">
        <v>14</v>
      </c>
      <c r="N21" s="1"/>
      <c r="O21" s="1"/>
    </row>
    <row r="22" spans="2:15" x14ac:dyDescent="0.25">
      <c r="B22" s="32" t="s">
        <v>16</v>
      </c>
      <c r="C22" s="33"/>
      <c r="D22" s="33"/>
      <c r="E22" s="34">
        <f>E21*0.00785*100</f>
        <v>50.114400000000003</v>
      </c>
      <c r="F22" s="35" t="s">
        <v>17</v>
      </c>
      <c r="G22" s="1"/>
      <c r="H22" s="1"/>
      <c r="I22" s="32" t="s">
        <v>16</v>
      </c>
      <c r="J22" s="33"/>
      <c r="K22" s="33"/>
      <c r="L22" s="34">
        <f>(L21*0.00785)*100</f>
        <v>20.297116999999997</v>
      </c>
      <c r="M22" s="35" t="s">
        <v>17</v>
      </c>
      <c r="N22" s="1"/>
      <c r="O22" s="1"/>
    </row>
    <row r="23" spans="2:15" ht="15.75" thickBot="1" x14ac:dyDescent="0.3">
      <c r="B23" s="55" t="s">
        <v>19</v>
      </c>
      <c r="C23" s="40"/>
      <c r="D23" s="40"/>
      <c r="E23" s="41">
        <f>(2*E16+2*E17)/1000</f>
        <v>0.85</v>
      </c>
      <c r="F23" s="42" t="s">
        <v>20</v>
      </c>
      <c r="G23" s="43"/>
      <c r="H23" s="43"/>
      <c r="I23" s="39" t="s">
        <v>19</v>
      </c>
      <c r="J23" s="40"/>
      <c r="K23" s="40"/>
      <c r="L23" s="41">
        <f>((2*L16+4*L17+4*L18)-4*L19)/1000</f>
        <v>1.08</v>
      </c>
      <c r="M23" s="42" t="s">
        <v>20</v>
      </c>
      <c r="N23" s="43"/>
      <c r="O23" s="43"/>
    </row>
    <row r="24" spans="2:15" ht="15.75" thickBot="1" x14ac:dyDescent="0.3">
      <c r="B24" s="1"/>
      <c r="C24" s="1"/>
      <c r="D24" s="1"/>
      <c r="E24" s="1"/>
      <c r="F24" s="1"/>
      <c r="G24" s="56"/>
      <c r="H24" s="56"/>
      <c r="I24" s="56"/>
      <c r="J24" s="57"/>
      <c r="K24" s="57"/>
      <c r="L24" s="1"/>
      <c r="M24" s="1"/>
      <c r="N24" s="1"/>
      <c r="O24" s="1"/>
    </row>
    <row r="25" spans="2:15" ht="15.75" thickBot="1" x14ac:dyDescent="0.3">
      <c r="B25" s="2" t="s">
        <v>27</v>
      </c>
      <c r="C25" s="3"/>
      <c r="D25" s="3"/>
      <c r="E25" s="3"/>
      <c r="F25" s="4"/>
      <c r="G25" s="1"/>
      <c r="H25" s="1"/>
      <c r="I25" s="2" t="s">
        <v>28</v>
      </c>
      <c r="J25" s="3"/>
      <c r="K25" s="3"/>
      <c r="L25" s="3"/>
      <c r="M25" s="4"/>
      <c r="N25" s="1"/>
      <c r="O25" s="1"/>
    </row>
    <row r="26" spans="2:15" ht="15.75" thickTop="1" x14ac:dyDescent="0.25">
      <c r="B26" s="5" t="s">
        <v>2</v>
      </c>
      <c r="C26" s="6"/>
      <c r="D26" s="7"/>
      <c r="E26" s="8">
        <v>250</v>
      </c>
      <c r="F26" s="9" t="s">
        <v>3</v>
      </c>
      <c r="G26" s="1"/>
      <c r="H26" s="1"/>
      <c r="I26" s="5" t="s">
        <v>2</v>
      </c>
      <c r="J26" s="6"/>
      <c r="K26" s="7"/>
      <c r="L26" s="58">
        <v>200</v>
      </c>
      <c r="M26" s="9" t="s">
        <v>3</v>
      </c>
      <c r="N26" s="1"/>
      <c r="O26" s="1"/>
    </row>
    <row r="27" spans="2:15" x14ac:dyDescent="0.25">
      <c r="B27" s="10" t="s">
        <v>4</v>
      </c>
      <c r="C27" s="11"/>
      <c r="D27" s="12"/>
      <c r="E27" s="51">
        <v>50</v>
      </c>
      <c r="F27" s="14" t="s">
        <v>3</v>
      </c>
      <c r="G27" s="1"/>
      <c r="H27" s="1"/>
      <c r="I27" s="10" t="s">
        <v>5</v>
      </c>
      <c r="J27" s="11"/>
      <c r="K27" s="12"/>
      <c r="L27" s="51">
        <v>75</v>
      </c>
      <c r="M27" s="14" t="s">
        <v>3</v>
      </c>
      <c r="N27" s="1"/>
      <c r="O27" s="1"/>
    </row>
    <row r="28" spans="2:15" ht="15.75" thickBot="1" x14ac:dyDescent="0.3">
      <c r="B28" s="29" t="s">
        <v>23</v>
      </c>
      <c r="C28" s="16"/>
      <c r="D28" s="30"/>
      <c r="E28" s="59">
        <v>6</v>
      </c>
      <c r="F28" s="19" t="s">
        <v>3</v>
      </c>
      <c r="G28" s="1" t="s">
        <v>29</v>
      </c>
      <c r="H28" s="1"/>
      <c r="I28" s="10" t="s">
        <v>7</v>
      </c>
      <c r="J28" s="11"/>
      <c r="K28" s="12"/>
      <c r="L28" s="51">
        <v>75</v>
      </c>
      <c r="M28" s="14" t="s">
        <v>3</v>
      </c>
      <c r="N28" s="1"/>
      <c r="O28" s="1"/>
    </row>
    <row r="29" spans="2:15" ht="16.5" thickTop="1" thickBot="1" x14ac:dyDescent="0.3">
      <c r="B29" s="36" t="s">
        <v>30</v>
      </c>
      <c r="C29" s="37">
        <f>E26*0.1</f>
        <v>25</v>
      </c>
      <c r="D29" s="60" t="s">
        <v>11</v>
      </c>
      <c r="E29" s="61">
        <f>E31</f>
        <v>15.55592424</v>
      </c>
      <c r="F29" s="62"/>
      <c r="G29" s="12"/>
      <c r="H29" s="12"/>
      <c r="I29" s="29" t="s">
        <v>23</v>
      </c>
      <c r="J29" s="16"/>
      <c r="K29" s="17"/>
      <c r="L29" s="63">
        <v>6</v>
      </c>
      <c r="M29" s="19" t="s">
        <v>3</v>
      </c>
      <c r="N29" s="12"/>
      <c r="O29" s="12"/>
    </row>
    <row r="30" spans="2:15" ht="15.75" thickBot="1" x14ac:dyDescent="0.3">
      <c r="B30" s="25" t="s">
        <v>13</v>
      </c>
      <c r="C30" s="26"/>
      <c r="D30" s="26"/>
      <c r="E30" s="27">
        <f>(((E26+2*E27)-3.2876*E28)*E28)/100</f>
        <v>19.816464</v>
      </c>
      <c r="F30" s="28" t="s">
        <v>14</v>
      </c>
      <c r="G30" s="1"/>
      <c r="H30" s="1"/>
      <c r="I30" s="36" t="s">
        <v>31</v>
      </c>
      <c r="J30" s="37">
        <f>L26*0.1</f>
        <v>20</v>
      </c>
      <c r="K30" s="37" t="s">
        <v>11</v>
      </c>
      <c r="L30" s="38">
        <f>L32</f>
        <v>15.55592424</v>
      </c>
      <c r="M30" s="24"/>
      <c r="N30" s="1"/>
      <c r="O30" s="1"/>
    </row>
    <row r="31" spans="2:15" x14ac:dyDescent="0.25">
      <c r="B31" s="32" t="s">
        <v>16</v>
      </c>
      <c r="C31" s="33"/>
      <c r="D31" s="33"/>
      <c r="E31" s="34">
        <f>(E30*0.00785)*100</f>
        <v>15.55592424</v>
      </c>
      <c r="F31" s="35" t="s">
        <v>17</v>
      </c>
      <c r="G31" s="1"/>
      <c r="H31" s="1"/>
      <c r="I31" s="25" t="s">
        <v>13</v>
      </c>
      <c r="J31" s="53"/>
      <c r="K31" s="53"/>
      <c r="L31" s="45">
        <f>(((L27+L28+L26)-3.2876*L29)*L29)/100</f>
        <v>19.816464</v>
      </c>
      <c r="M31" s="28" t="s">
        <v>14</v>
      </c>
      <c r="N31" s="1"/>
      <c r="O31" s="1"/>
    </row>
    <row r="32" spans="2:15" ht="15.75" thickBot="1" x14ac:dyDescent="0.3">
      <c r="B32" s="39" t="s">
        <v>19</v>
      </c>
      <c r="C32" s="40"/>
      <c r="D32" s="40"/>
      <c r="E32" s="41">
        <f>((2*E26+4*E27)-2*E28)/1000</f>
        <v>0.68799999999999994</v>
      </c>
      <c r="F32" s="42" t="s">
        <v>20</v>
      </c>
      <c r="G32" s="43"/>
      <c r="H32" s="43"/>
      <c r="I32" s="32" t="s">
        <v>16</v>
      </c>
      <c r="J32" s="33"/>
      <c r="K32" s="33"/>
      <c r="L32" s="34">
        <f>L31*0.00785*100</f>
        <v>15.55592424</v>
      </c>
      <c r="M32" s="35" t="s">
        <v>17</v>
      </c>
      <c r="N32" s="43"/>
      <c r="O32" s="43"/>
    </row>
    <row r="33" spans="2:15" ht="15.75" thickBot="1" x14ac:dyDescent="0.3">
      <c r="B33" s="1"/>
      <c r="C33" s="1"/>
      <c r="D33" s="1"/>
      <c r="E33" s="1"/>
      <c r="F33" s="1"/>
      <c r="G33" s="1"/>
      <c r="H33" s="1"/>
      <c r="I33" s="55" t="s">
        <v>19</v>
      </c>
      <c r="J33" s="40"/>
      <c r="K33" s="40"/>
      <c r="L33" s="41">
        <f>((2*L26+2*L27+2*L28)-2*L29)/1000</f>
        <v>0.68799999999999994</v>
      </c>
      <c r="M33" s="42" t="s">
        <v>20</v>
      </c>
      <c r="N33" s="1"/>
      <c r="O33" s="1"/>
    </row>
    <row r="34" spans="2: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x14ac:dyDescent="0.25">
      <c r="B35" s="1"/>
      <c r="C35" s="1"/>
      <c r="D35" s="1"/>
      <c r="E35" s="1"/>
      <c r="F35" s="1"/>
      <c r="G35" s="1"/>
      <c r="H35" s="1" t="s">
        <v>29</v>
      </c>
      <c r="I35" s="1"/>
      <c r="J35" s="1"/>
      <c r="K35" s="1"/>
      <c r="L35" s="1"/>
      <c r="M35" s="1"/>
      <c r="N35" s="1"/>
      <c r="O35" s="1"/>
    </row>
    <row r="36" spans="2: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.75" thickBot="1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.75" thickBot="1" x14ac:dyDescent="0.3">
      <c r="B39" s="2" t="s">
        <v>32</v>
      </c>
      <c r="C39" s="3"/>
      <c r="D39" s="3"/>
      <c r="E39" s="3"/>
      <c r="F39" s="4"/>
      <c r="G39" s="1"/>
      <c r="H39" s="1"/>
      <c r="I39" s="2" t="s">
        <v>33</v>
      </c>
      <c r="J39" s="3"/>
      <c r="K39" s="3"/>
      <c r="L39" s="3"/>
      <c r="M39" s="4"/>
      <c r="N39" s="1"/>
      <c r="O39" s="1"/>
    </row>
    <row r="40" spans="2:15" ht="15.75" thickTop="1" x14ac:dyDescent="0.25">
      <c r="B40" s="5" t="s">
        <v>2</v>
      </c>
      <c r="C40" s="6"/>
      <c r="D40" s="7"/>
      <c r="E40" s="8">
        <v>200</v>
      </c>
      <c r="F40" s="9" t="s">
        <v>3</v>
      </c>
      <c r="G40" s="1"/>
      <c r="H40" s="1"/>
      <c r="I40" s="5" t="s">
        <v>2</v>
      </c>
      <c r="J40" s="6"/>
      <c r="K40" s="7"/>
      <c r="L40" s="58">
        <v>80</v>
      </c>
      <c r="M40" s="9" t="s">
        <v>3</v>
      </c>
      <c r="N40" s="1"/>
      <c r="O40" s="1"/>
    </row>
    <row r="41" spans="2:15" x14ac:dyDescent="0.25">
      <c r="B41" s="10" t="s">
        <v>4</v>
      </c>
      <c r="C41" s="11"/>
      <c r="D41" s="12"/>
      <c r="E41" s="51">
        <v>150</v>
      </c>
      <c r="F41" s="14" t="s">
        <v>3</v>
      </c>
      <c r="G41" s="1"/>
      <c r="H41" s="1"/>
      <c r="I41" s="10" t="s">
        <v>4</v>
      </c>
      <c r="J41" s="11"/>
      <c r="K41" s="12"/>
      <c r="L41" s="51">
        <v>80</v>
      </c>
      <c r="M41" s="14" t="s">
        <v>3</v>
      </c>
      <c r="N41" s="1"/>
      <c r="O41" s="1"/>
    </row>
    <row r="42" spans="2:15" ht="15.75" thickBot="1" x14ac:dyDescent="0.3">
      <c r="B42" s="29" t="s">
        <v>23</v>
      </c>
      <c r="C42" s="16"/>
      <c r="D42" s="30"/>
      <c r="E42" s="52">
        <v>4</v>
      </c>
      <c r="F42" s="19" t="s">
        <v>3</v>
      </c>
      <c r="G42" s="1"/>
      <c r="H42" s="1"/>
      <c r="I42" s="29" t="s">
        <v>23</v>
      </c>
      <c r="J42" s="16"/>
      <c r="K42" s="30"/>
      <c r="L42" s="52">
        <v>6</v>
      </c>
      <c r="M42" s="19" t="s">
        <v>3</v>
      </c>
      <c r="N42" s="1"/>
      <c r="O42" s="1"/>
    </row>
    <row r="43" spans="2:15" ht="16.5" thickTop="1" thickBot="1" x14ac:dyDescent="0.3">
      <c r="B43" s="36" t="s">
        <v>34</v>
      </c>
      <c r="C43" s="64">
        <f>(E40+E41)*0.1</f>
        <v>35</v>
      </c>
      <c r="D43" s="37" t="s">
        <v>11</v>
      </c>
      <c r="E43" s="38">
        <f>E45</f>
        <v>21.567077439999998</v>
      </c>
      <c r="F43" s="62"/>
      <c r="G43" s="12"/>
      <c r="H43" s="12"/>
      <c r="I43" s="36" t="s">
        <v>35</v>
      </c>
      <c r="J43" s="37">
        <f>L40*0.1</f>
        <v>8</v>
      </c>
      <c r="K43" s="37" t="s">
        <v>11</v>
      </c>
      <c r="L43" s="65">
        <f>L45</f>
        <v>7.0714621199999996</v>
      </c>
      <c r="M43" s="62"/>
      <c r="N43" s="12"/>
      <c r="O43" s="12"/>
    </row>
    <row r="44" spans="2:15" x14ac:dyDescent="0.25">
      <c r="B44" s="25" t="s">
        <v>13</v>
      </c>
      <c r="C44" s="53"/>
      <c r="D44" s="53"/>
      <c r="E44" s="45">
        <f>(((E40+E41-1.6438*E42)*E42))*2/100</f>
        <v>27.473984000000002</v>
      </c>
      <c r="F44" s="28" t="s">
        <v>14</v>
      </c>
      <c r="G44" s="1"/>
      <c r="H44" s="1"/>
      <c r="I44" s="25" t="s">
        <v>13</v>
      </c>
      <c r="J44" s="53"/>
      <c r="K44" s="53"/>
      <c r="L44" s="45">
        <f>((L40+L41-1.6438*L42)*L42)/100</f>
        <v>9.0082319999999996</v>
      </c>
      <c r="M44" s="28" t="s">
        <v>14</v>
      </c>
      <c r="N44" s="1"/>
      <c r="O44" s="1"/>
    </row>
    <row r="45" spans="2:15" x14ac:dyDescent="0.25">
      <c r="B45" s="32" t="s">
        <v>16</v>
      </c>
      <c r="C45" s="33"/>
      <c r="D45" s="33"/>
      <c r="E45" s="66">
        <f>(E44*0.00785)*100</f>
        <v>21.567077439999998</v>
      </c>
      <c r="F45" s="35" t="s">
        <v>17</v>
      </c>
      <c r="G45" s="1"/>
      <c r="H45" s="1"/>
      <c r="I45" s="32" t="s">
        <v>16</v>
      </c>
      <c r="J45" s="33"/>
      <c r="K45" s="33"/>
      <c r="L45" s="66">
        <f>(L44*0.00785)*100</f>
        <v>7.0714621199999996</v>
      </c>
      <c r="M45" s="35" t="s">
        <v>17</v>
      </c>
      <c r="N45" s="1"/>
      <c r="O45" s="1"/>
    </row>
    <row r="46" spans="2:15" ht="15.75" thickBot="1" x14ac:dyDescent="0.3">
      <c r="B46" s="39" t="s">
        <v>19</v>
      </c>
      <c r="C46" s="40"/>
      <c r="D46" s="40"/>
      <c r="E46" s="41">
        <f>(((2*E40)+(2*E41)-E42))*2/1000</f>
        <v>1.3919999999999999</v>
      </c>
      <c r="F46" s="42" t="s">
        <v>20</v>
      </c>
      <c r="G46" s="1"/>
      <c r="H46" s="1"/>
      <c r="I46" s="39" t="s">
        <v>19</v>
      </c>
      <c r="J46" s="40"/>
      <c r="K46" s="40"/>
      <c r="L46" s="41">
        <f>((2*L40)+(2*L41)-L42)/1000</f>
        <v>0.314</v>
      </c>
      <c r="M46" s="42" t="s">
        <v>20</v>
      </c>
      <c r="N46" s="1"/>
      <c r="O46" s="1"/>
    </row>
    <row r="47" spans="2:15" ht="15.75" thickBot="1" x14ac:dyDescent="0.3">
      <c r="B47" s="67"/>
      <c r="C47" s="67"/>
      <c r="D47" s="67"/>
      <c r="E47" s="67"/>
      <c r="F47" s="68"/>
      <c r="G47" s="1"/>
      <c r="H47" s="1"/>
      <c r="I47" s="67"/>
      <c r="J47" s="67"/>
      <c r="K47" s="67"/>
      <c r="L47" s="69"/>
      <c r="M47" s="68"/>
      <c r="N47" s="1"/>
      <c r="O47" s="1"/>
    </row>
    <row r="48" spans="2:15" ht="15.75" thickBot="1" x14ac:dyDescent="0.3">
      <c r="B48" s="2" t="s">
        <v>36</v>
      </c>
      <c r="C48" s="3"/>
      <c r="D48" s="3"/>
      <c r="E48" s="3"/>
      <c r="F48" s="4"/>
      <c r="G48" s="1"/>
      <c r="H48" s="1"/>
      <c r="I48" s="2" t="s">
        <v>37</v>
      </c>
      <c r="J48" s="3"/>
      <c r="K48" s="3"/>
      <c r="L48" s="3"/>
      <c r="M48" s="4"/>
      <c r="N48" s="1"/>
      <c r="O48" s="1"/>
    </row>
    <row r="49" spans="2:15" ht="15.75" thickTop="1" x14ac:dyDescent="0.25">
      <c r="B49" s="70" t="s">
        <v>2</v>
      </c>
      <c r="C49" s="6"/>
      <c r="D49" s="7"/>
      <c r="E49" s="8">
        <v>100</v>
      </c>
      <c r="F49" s="9" t="s">
        <v>3</v>
      </c>
      <c r="G49" s="1"/>
      <c r="H49" s="1"/>
      <c r="I49" s="5" t="s">
        <v>38</v>
      </c>
      <c r="J49" s="6"/>
      <c r="K49" s="7"/>
      <c r="L49" s="8">
        <v>152.4</v>
      </c>
      <c r="M49" s="9" t="s">
        <v>3</v>
      </c>
      <c r="N49" s="1"/>
      <c r="O49" s="1"/>
    </row>
    <row r="50" spans="2:15" ht="15.75" thickBot="1" x14ac:dyDescent="0.3">
      <c r="B50" s="25" t="s">
        <v>4</v>
      </c>
      <c r="C50" s="11"/>
      <c r="D50" s="12"/>
      <c r="E50" s="51">
        <v>100</v>
      </c>
      <c r="F50" s="14" t="s">
        <v>3</v>
      </c>
      <c r="G50" s="1"/>
      <c r="H50" s="1"/>
      <c r="I50" s="29" t="s">
        <v>39</v>
      </c>
      <c r="J50" s="16"/>
      <c r="K50" s="30"/>
      <c r="L50" s="52">
        <v>7.11</v>
      </c>
      <c r="M50" s="19" t="s">
        <v>3</v>
      </c>
      <c r="N50" s="1"/>
      <c r="O50" s="1"/>
    </row>
    <row r="51" spans="2:15" ht="15.75" thickBot="1" x14ac:dyDescent="0.3">
      <c r="B51" s="71" t="s">
        <v>23</v>
      </c>
      <c r="C51" s="11"/>
      <c r="D51" s="17"/>
      <c r="E51" s="31">
        <v>10</v>
      </c>
      <c r="F51" s="72" t="s">
        <v>3</v>
      </c>
      <c r="G51" s="1"/>
      <c r="H51" s="1"/>
      <c r="I51" s="73"/>
      <c r="J51" s="30"/>
      <c r="K51" s="30"/>
      <c r="L51" s="74"/>
      <c r="M51" s="24"/>
      <c r="N51" s="1"/>
      <c r="O51" s="1"/>
    </row>
    <row r="52" spans="2:15" ht="16.5" thickTop="1" thickBot="1" x14ac:dyDescent="0.3">
      <c r="B52" s="73"/>
      <c r="C52" s="75"/>
      <c r="D52" s="75"/>
      <c r="E52" s="76"/>
      <c r="F52" s="24"/>
      <c r="G52" s="1"/>
      <c r="H52" s="1"/>
      <c r="I52" s="25" t="s">
        <v>13</v>
      </c>
      <c r="J52" s="77"/>
      <c r="K52" s="77"/>
      <c r="L52" s="78">
        <f>3.14*(((L49/2)*(L49/2))-(((L49-(2*L50))/2)*((L49-(2*L50))/2)))/100</f>
        <v>32.436573660000015</v>
      </c>
      <c r="M52" s="28" t="s">
        <v>14</v>
      </c>
      <c r="N52" s="1"/>
      <c r="O52" s="1"/>
    </row>
    <row r="53" spans="2:15" x14ac:dyDescent="0.25">
      <c r="B53" s="25" t="s">
        <v>13</v>
      </c>
      <c r="C53" s="53"/>
      <c r="D53" s="53"/>
      <c r="E53" s="45">
        <f>(E49*E50*E51)/1000</f>
        <v>100</v>
      </c>
      <c r="F53" s="28" t="s">
        <v>14</v>
      </c>
      <c r="G53" s="1"/>
      <c r="H53" s="1"/>
      <c r="I53" s="32" t="s">
        <v>16</v>
      </c>
      <c r="J53" s="33"/>
      <c r="K53" s="33"/>
      <c r="L53" s="66">
        <f>L52*1000*0.00786/10</f>
        <v>25.495146896760016</v>
      </c>
      <c r="M53" s="35" t="s">
        <v>17</v>
      </c>
      <c r="N53" s="1"/>
      <c r="O53" s="1"/>
    </row>
    <row r="54" spans="2:15" ht="15.75" thickBot="1" x14ac:dyDescent="0.3">
      <c r="B54" s="32" t="s">
        <v>16</v>
      </c>
      <c r="C54" s="33"/>
      <c r="D54" s="33"/>
      <c r="E54" s="33">
        <f>(E49*E50*E51)*0.000785/100</f>
        <v>0.78500000000000003</v>
      </c>
      <c r="F54" s="35" t="s">
        <v>17</v>
      </c>
      <c r="G54" s="1"/>
      <c r="H54" s="1"/>
      <c r="I54" s="55" t="s">
        <v>19</v>
      </c>
      <c r="J54" s="40"/>
      <c r="K54" s="40"/>
      <c r="L54" s="41">
        <f>3.14*(L49)/1000</f>
        <v>0.47853600000000007</v>
      </c>
      <c r="M54" s="42" t="s">
        <v>20</v>
      </c>
      <c r="N54" s="1"/>
      <c r="O54" s="1"/>
    </row>
    <row r="55" spans="2:15" ht="15.75" thickBot="1" x14ac:dyDescent="0.3">
      <c r="B55" s="55" t="s">
        <v>19</v>
      </c>
      <c r="C55" s="40"/>
      <c r="D55" s="40"/>
      <c r="E55" s="41">
        <f>(2*E50+2*E51)/1000</f>
        <v>0.22</v>
      </c>
      <c r="F55" s="42" t="s">
        <v>20</v>
      </c>
      <c r="G55" s="43"/>
      <c r="H55" s="43"/>
      <c r="I55" s="43"/>
      <c r="J55" s="43"/>
      <c r="K55" s="43"/>
      <c r="L55" s="43"/>
      <c r="M55" s="43"/>
      <c r="N55" s="43"/>
      <c r="O55" s="43"/>
    </row>
    <row r="56" spans="2:15" ht="15.75" thickBot="1" x14ac:dyDescent="0.3">
      <c r="B56" s="79"/>
      <c r="C56" s="79"/>
      <c r="D56" s="79"/>
      <c r="E56" s="43"/>
      <c r="F56" s="80"/>
      <c r="G56" s="43"/>
      <c r="H56" s="43"/>
      <c r="I56" s="43"/>
      <c r="J56" s="43"/>
      <c r="K56" s="43"/>
      <c r="L56" s="43"/>
      <c r="M56" s="43"/>
      <c r="N56" s="43"/>
      <c r="O56" s="43"/>
    </row>
    <row r="57" spans="2:15" ht="15.75" thickBot="1" x14ac:dyDescent="0.3">
      <c r="B57" s="2" t="s">
        <v>40</v>
      </c>
      <c r="C57" s="3"/>
      <c r="D57" s="3"/>
      <c r="E57" s="3"/>
      <c r="F57" s="4"/>
      <c r="G57" s="1"/>
      <c r="H57" s="1"/>
      <c r="I57" s="2" t="s">
        <v>41</v>
      </c>
      <c r="J57" s="81"/>
      <c r="K57" s="81"/>
      <c r="L57" s="3"/>
      <c r="M57" s="4"/>
      <c r="N57" s="1"/>
      <c r="O57" s="1"/>
    </row>
    <row r="58" spans="2:15" ht="16.5" thickTop="1" thickBot="1" x14ac:dyDescent="0.3">
      <c r="B58" s="5" t="s">
        <v>2</v>
      </c>
      <c r="C58" s="6"/>
      <c r="D58" s="7"/>
      <c r="E58" s="8">
        <v>1000</v>
      </c>
      <c r="F58" s="9" t="s">
        <v>3</v>
      </c>
      <c r="G58" s="1"/>
      <c r="H58" s="1"/>
      <c r="I58" s="82" t="s">
        <v>42</v>
      </c>
      <c r="J58" s="12"/>
      <c r="K58" s="12"/>
      <c r="L58" s="83">
        <v>40</v>
      </c>
      <c r="M58" s="84" t="s">
        <v>3</v>
      </c>
      <c r="N58" s="1"/>
      <c r="O58" s="1"/>
    </row>
    <row r="59" spans="2:15" ht="16.5" thickTop="1" thickBot="1" x14ac:dyDescent="0.3">
      <c r="B59" s="10" t="s">
        <v>4</v>
      </c>
      <c r="C59" s="11"/>
      <c r="D59" s="12"/>
      <c r="E59" s="51">
        <v>100</v>
      </c>
      <c r="F59" s="14" t="s">
        <v>3</v>
      </c>
      <c r="G59" s="1"/>
      <c r="H59" s="1"/>
      <c r="I59" s="73"/>
      <c r="J59" s="75"/>
      <c r="K59" s="75"/>
      <c r="L59" s="74" t="s">
        <v>29</v>
      </c>
      <c r="M59" s="24"/>
      <c r="N59" s="1"/>
      <c r="O59" s="1"/>
    </row>
    <row r="60" spans="2:15" ht="15.75" thickBot="1" x14ac:dyDescent="0.3">
      <c r="B60" s="29" t="s">
        <v>23</v>
      </c>
      <c r="C60" s="16"/>
      <c r="D60" s="30"/>
      <c r="E60" s="52">
        <v>4</v>
      </c>
      <c r="F60" s="19" t="s">
        <v>3</v>
      </c>
      <c r="G60" s="1"/>
      <c r="H60" s="1"/>
      <c r="I60" s="25" t="s">
        <v>13</v>
      </c>
      <c r="J60" s="77"/>
      <c r="K60" s="77"/>
      <c r="L60" s="85">
        <f>(L58*L58)*0.00785</f>
        <v>12.559999999999999</v>
      </c>
      <c r="M60" s="28" t="s">
        <v>14</v>
      </c>
      <c r="N60" s="1"/>
      <c r="O60" s="1"/>
    </row>
    <row r="61" spans="2:15" ht="15.75" thickBot="1" x14ac:dyDescent="0.3">
      <c r="B61" s="86" t="s">
        <v>29</v>
      </c>
      <c r="C61" s="37">
        <f>E58*0.1</f>
        <v>100</v>
      </c>
      <c r="D61" s="60" t="s">
        <v>11</v>
      </c>
      <c r="E61" s="87">
        <f>E63</f>
        <v>68.254154880000002</v>
      </c>
      <c r="F61" s="62"/>
      <c r="G61" s="1"/>
      <c r="H61" s="1"/>
      <c r="I61" s="32" t="s">
        <v>16</v>
      </c>
      <c r="J61" s="33"/>
      <c r="K61" s="33"/>
      <c r="L61" s="88">
        <f>(L58*L58*1000)*0.000616/100</f>
        <v>9.8559999999999999</v>
      </c>
      <c r="M61" s="35" t="s">
        <v>17</v>
      </c>
      <c r="N61" s="1"/>
      <c r="O61" s="1"/>
    </row>
    <row r="62" spans="2:15" ht="15.75" thickBot="1" x14ac:dyDescent="0.3">
      <c r="B62" s="25" t="s">
        <v>13</v>
      </c>
      <c r="C62" s="53"/>
      <c r="D62" s="53"/>
      <c r="E62" s="45">
        <f>(((E58*2+2*E59)-6.5752*E60)*E60)/100</f>
        <v>86.947968000000003</v>
      </c>
      <c r="F62" s="28" t="s">
        <v>14</v>
      </c>
      <c r="G62" s="1"/>
      <c r="H62" s="1"/>
      <c r="I62" s="55" t="s">
        <v>19</v>
      </c>
      <c r="J62" s="40"/>
      <c r="K62" s="40"/>
      <c r="L62" s="41">
        <f>(2*3.14)*(L58/2)/1000</f>
        <v>0.12560000000000002</v>
      </c>
      <c r="M62" s="42" t="s">
        <v>20</v>
      </c>
      <c r="N62" s="1"/>
      <c r="O62" s="1"/>
    </row>
    <row r="63" spans="2:15" x14ac:dyDescent="0.25">
      <c r="B63" s="32" t="s">
        <v>16</v>
      </c>
      <c r="C63" s="33"/>
      <c r="D63" s="33"/>
      <c r="E63" s="66">
        <f>(E62*0.00785)*100</f>
        <v>68.254154880000002</v>
      </c>
      <c r="F63" s="35" t="s">
        <v>17</v>
      </c>
      <c r="G63" s="1"/>
      <c r="H63" s="1"/>
      <c r="I63" s="1"/>
      <c r="J63" s="1"/>
      <c r="K63" s="1"/>
      <c r="L63" s="1"/>
      <c r="M63" s="1"/>
      <c r="N63" s="1"/>
      <c r="O63" s="1"/>
    </row>
    <row r="64" spans="2:15" ht="15.75" thickBot="1" x14ac:dyDescent="0.3">
      <c r="B64" s="39" t="s">
        <v>19</v>
      </c>
      <c r="C64" s="40"/>
      <c r="D64" s="40"/>
      <c r="E64" s="41">
        <f>(((2*E58+4*E59)-2*E60))*2/1000</f>
        <v>4.7839999999999998</v>
      </c>
      <c r="F64" s="42" t="s">
        <v>20</v>
      </c>
      <c r="G64" s="43"/>
      <c r="H64" s="43"/>
      <c r="I64" s="43"/>
      <c r="J64" s="43"/>
      <c r="K64" s="43"/>
      <c r="L64" s="43"/>
      <c r="M64" s="43"/>
      <c r="N64" s="43"/>
      <c r="O64" s="43"/>
    </row>
    <row r="65" spans="2: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x14ac:dyDescent="0.25">
      <c r="B67" s="1"/>
      <c r="C67" s="1"/>
      <c r="D67" s="1"/>
      <c r="E67" s="1"/>
      <c r="F67" s="1"/>
      <c r="G67" s="1"/>
      <c r="H67" s="1" t="s">
        <v>29</v>
      </c>
      <c r="I67" s="1"/>
      <c r="J67" s="1"/>
      <c r="K67" s="1"/>
      <c r="L67" s="1"/>
      <c r="M67" s="1"/>
      <c r="N67" s="1"/>
      <c r="O67" s="1"/>
    </row>
    <row r="68" spans="2: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</sheetData>
  <mergeCells count="13">
    <mergeCell ref="I15:M15"/>
    <mergeCell ref="G24:I24"/>
    <mergeCell ref="B25:F25"/>
    <mergeCell ref="I25:M25"/>
    <mergeCell ref="B39:F39"/>
    <mergeCell ref="I39:M39"/>
    <mergeCell ref="B48:F48"/>
    <mergeCell ref="I48:M48"/>
    <mergeCell ref="B57:F57"/>
    <mergeCell ref="I57:M57"/>
    <mergeCell ref="B3:F3"/>
    <mergeCell ref="I3:M3"/>
    <mergeCell ref="B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INFO_PROFILE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Hugo Gallo Parra</dc:creator>
  <cp:lastModifiedBy>Andrés Hugo Gallo Parra</cp:lastModifiedBy>
  <dcterms:created xsi:type="dcterms:W3CDTF">2026-02-16T20:02:06Z</dcterms:created>
  <dcterms:modified xsi:type="dcterms:W3CDTF">2026-02-16T20:03:34Z</dcterms:modified>
</cp:coreProperties>
</file>